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82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benoi\Downloads\"/>
    </mc:Choice>
  </mc:AlternateContent>
  <xr:revisionPtr revIDLastSave="0" documentId="8_{5CC8D68F-4C67-4958-AA28-5134229409F1}" xr6:coauthVersionLast="47" xr6:coauthVersionMax="47" xr10:uidLastSave="{00000000-0000-0000-0000-000000000000}"/>
  <bookViews>
    <workbookView xWindow="-108" yWindow="-108" windowWidth="23256" windowHeight="12456" firstSheet="1" activeTab="3" xr2:uid="{A996F91A-C7E0-427F-95EA-C85980F2BAED}"/>
  </bookViews>
  <sheets>
    <sheet name="Inventaire Brut" sheetId="1" r:id="rId1"/>
    <sheet name="Conformité" sheetId="2" r:id="rId2"/>
    <sheet name="Dashboard" sheetId="3" r:id="rId3"/>
    <sheet name="Plan d'Action" sheetId="4" r:id="rId4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B2" i="2" l="1"/>
  <c r="F14" i="1"/>
  <c r="E14" i="1"/>
  <c r="D14" i="1"/>
  <c r="A15" i="3"/>
  <c r="B15" i="3"/>
  <c r="A16" i="3"/>
  <c r="A17" i="3"/>
  <c r="A18" i="3"/>
  <c r="A19" i="3"/>
  <c r="A20" i="3"/>
  <c r="A21" i="3"/>
  <c r="B21" i="3"/>
  <c r="A22" i="3"/>
  <c r="A23" i="3"/>
  <c r="B23" i="3"/>
  <c r="A24" i="3"/>
  <c r="A25" i="3"/>
  <c r="A26" i="3"/>
  <c r="B7" i="3"/>
  <c r="B8" i="3"/>
  <c r="B10" i="3"/>
  <c r="A2" i="2"/>
  <c r="C2" i="2"/>
  <c r="D2" i="2" s="1"/>
  <c r="A3" i="2"/>
  <c r="B3" i="2"/>
  <c r="C3" i="2"/>
  <c r="D3" i="2" s="1"/>
  <c r="A4" i="2"/>
  <c r="B4" i="2"/>
  <c r="C4" i="2"/>
  <c r="D4" i="2" s="1"/>
  <c r="A5" i="2"/>
  <c r="B5" i="2"/>
  <c r="C5" i="2"/>
  <c r="D5" i="2"/>
  <c r="E5" i="2"/>
  <c r="F5" i="2"/>
  <c r="A6" i="2"/>
  <c r="B6" i="2"/>
  <c r="C6" i="2"/>
  <c r="D6" i="2" s="1"/>
  <c r="A7" i="2"/>
  <c r="B7" i="2"/>
  <c r="C7" i="2"/>
  <c r="D7" i="2"/>
  <c r="E7" i="2"/>
  <c r="F7" i="2"/>
  <c r="A8" i="2"/>
  <c r="B8" i="2"/>
  <c r="C8" i="2"/>
  <c r="D8" i="2"/>
  <c r="F8" i="2" s="1"/>
  <c r="E8" i="2"/>
  <c r="A9" i="2"/>
  <c r="B9" i="2"/>
  <c r="C9" i="2"/>
  <c r="A10" i="2"/>
  <c r="B10" i="2"/>
  <c r="C10" i="2"/>
  <c r="D10" i="2"/>
  <c r="E10" i="2"/>
  <c r="F10" i="2"/>
  <c r="A11" i="2"/>
  <c r="B11" i="2"/>
  <c r="D11" i="2" s="1"/>
  <c r="C11" i="2"/>
  <c r="A12" i="2"/>
  <c r="B12" i="2"/>
  <c r="C12" i="2"/>
  <c r="D12" i="2"/>
  <c r="E12" i="2"/>
  <c r="F12" i="2"/>
  <c r="A13" i="2"/>
  <c r="B13" i="2"/>
  <c r="D13" i="2" s="1"/>
  <c r="C13" i="2"/>
  <c r="A2" i="2"/>
  <c r="B2" i="2"/>
  <c r="C2" i="2"/>
  <c r="H2" i="1"/>
  <c r="H14" i="1" s="1"/>
  <c r="H3" i="1"/>
  <c r="H4" i="1"/>
  <c r="B17" i="3" s="1"/>
  <c r="H5" i="1"/>
  <c r="B18" i="3" s="1"/>
  <c r="H6" i="1"/>
  <c r="B19" i="3" s="1"/>
  <c r="H7" i="1"/>
  <c r="B20" i="3" s="1"/>
  <c r="H8" i="1"/>
  <c r="H9" i="1"/>
  <c r="B22" i="3" s="1"/>
  <c r="H10" i="1"/>
  <c r="H11" i="1"/>
  <c r="B24" i="3" s="1"/>
  <c r="H12" i="1"/>
  <c r="B25" i="3" s="1"/>
  <c r="H13" i="1"/>
  <c r="B26" i="3" s="1"/>
  <c r="F6" i="2" l="1"/>
  <c r="E6" i="2"/>
  <c r="F4" i="2"/>
  <c r="E4" i="2"/>
  <c r="F3" i="2"/>
  <c r="E3" i="2"/>
  <c r="D2" i="2"/>
  <c r="F2" i="2"/>
  <c r="E2" i="2"/>
  <c r="E13" i="2"/>
  <c r="F13" i="2"/>
  <c r="E11" i="2"/>
  <c r="F11" i="2"/>
  <c r="D9" i="2"/>
  <c r="B5" i="3"/>
  <c r="B16" i="3"/>
  <c r="E9" i="2"/>
  <c r="B9" i="3" s="1"/>
  <c r="F9" i="2"/>
  <c r="B6" i="3" l="1"/>
  <c r="C6" i="3" s="1"/>
  <c r="F14" i="2"/>
</calcChain>
</file>

<file path=xl/sharedStrings.xml><?xml version="1.0" encoding="utf-8"?>
<sst xmlns="http://purl.oclc.org/ooxml/spreadsheetml/main" count="126" uniqueCount="102">
  <si>
    <t>Éditeur</t>
  </si>
  <si>
    <t>SKU / Nom du produit</t>
  </si>
  <si>
    <t>Type de licence</t>
  </si>
  <si>
    <t>Licences achetées</t>
  </si>
  <si>
    <t>Utilisateurs actifs</t>
  </si>
  <si>
    <t>Utilisateurs inactifs (+90j)</t>
  </si>
  <si>
    <t>Coût unitaire annuel (€)</t>
  </si>
  <si>
    <t>Coût total annuel (€)</t>
  </si>
  <si>
    <t>Date de renouvellement</t>
  </si>
  <si>
    <t>Niveau de risque d'audit</t>
  </si>
  <si>
    <t>Microsoft</t>
  </si>
  <si>
    <t>Microsoft 365 E3</t>
  </si>
  <si>
    <t>Abonnement utilisateur</t>
  </si>
  <si>
    <t>Élevé</t>
  </si>
  <si>
    <t>Adobe</t>
  </si>
  <si>
    <t>Adobe Creative Cloud</t>
  </si>
  <si>
    <t>Salesforce</t>
  </si>
  <si>
    <t>Salesforce Sales Cloud</t>
  </si>
  <si>
    <t>Zoom</t>
  </si>
  <si>
    <t>Zoom Pro</t>
  </si>
  <si>
    <t>Moyen</t>
  </si>
  <si>
    <t>Slack</t>
  </si>
  <si>
    <t>Slack Pro</t>
  </si>
  <si>
    <t>Atlassian</t>
  </si>
  <si>
    <t>Atlassian Jira</t>
  </si>
  <si>
    <t>Faible</t>
  </si>
  <si>
    <t>ServiceNow</t>
  </si>
  <si>
    <t>ServiceNow ITSM</t>
  </si>
  <si>
    <t>SAP</t>
  </si>
  <si>
    <t>SAP SuccessFactors</t>
  </si>
  <si>
    <t>DocuSign</t>
  </si>
  <si>
    <t>DocuSign Business</t>
  </si>
  <si>
    <t>CrowdStrike</t>
  </si>
  <si>
    <t>CrowdStrike Falcon</t>
  </si>
  <si>
    <t>Abonnement endpoint</t>
  </si>
  <si>
    <t>Figma</t>
  </si>
  <si>
    <t>Figma Professional</t>
  </si>
  <si>
    <t>1Password</t>
  </si>
  <si>
    <t>1Password Teams</t>
  </si>
  <si>
    <t>Écart</t>
  </si>
  <si>
    <t>Statut</t>
  </si>
  <si>
    <t>Coût du gaspillage annuel (€)</t>
  </si>
  <si>
    <t>TOTAL</t>
  </si>
  <si>
    <t>TABLEAU DE BORD - SYNTHÈSE LICENCES</t>
  </si>
  <si>
    <t>INDICATEURS CLÉS</t>
  </si>
  <si>
    <t>Indicateur</t>
  </si>
  <si>
    <t>Valeur</t>
  </si>
  <si>
    <t>Détail</t>
  </si>
  <si>
    <t>1. Coût total du parc logiciel</t>
  </si>
  <si>
    <t>Budget annuel logiciels</t>
  </si>
  <si>
    <t>2. Économies potentielles identifiées</t>
  </si>
  <si>
    <t>3. Nombre d'éditeurs à risque élevé</t>
  </si>
  <si>
    <t>Audit prioritaire</t>
  </si>
  <si>
    <t>4. Licences fantômes (inactifs +90j)</t>
  </si>
  <si>
    <t>Utilisateurs à désactiver</t>
  </si>
  <si>
    <t>5. Taux de conformité global</t>
  </si>
  <si>
    <t>Lignes conformes / total</t>
  </si>
  <si>
    <t>6. Prochain renouvellement critique</t>
  </si>
  <si>
    <t>Date la plus proche</t>
  </si>
  <si>
    <t>COÛT ANNUEL PAR ÉDITEUR</t>
  </si>
  <si>
    <t>Coût annuel (€)</t>
  </si>
  <si>
    <t>PLAN D'ACTION PRIORISÉ - OPTIMISATION LICENCES</t>
  </si>
  <si>
    <t>Priorité</t>
  </si>
  <si>
    <t>Action</t>
  </si>
  <si>
    <t>Économie annuelle estimée (€)</t>
  </si>
  <si>
    <t>Délai de mise en œuvre</t>
  </si>
  <si>
    <t>Frein décisionnel identifié</t>
  </si>
  <si>
    <t>Comment lever ce frein</t>
  </si>
  <si>
    <t>Désactivation des comptes inactifs (+90 jours)</t>
  </si>
  <si>
    <t>2 jours</t>
  </si>
  <si>
    <t>Résistance des managers craignant de perdre des accès</t>
  </si>
  <si>
    <t>Mettre en place une procédure de réactivation rapide (&lt; 24h) et communiquer sur le caractère réversible</t>
  </si>
  <si>
    <t>Rationalisation licences Zoom (150 → 60 utilisateurs actifs)</t>
  </si>
  <si>
    <t>2 semaines</t>
  </si>
  <si>
    <t>Habitudes utilisateurs et crainte de perdre des fonctionnalités</t>
  </si>
  <si>
    <t>Former les équipes à Teams Meeting (inclus M365) et conserver 10 licences Zoom pour les externes</t>
  </si>
  <si>
    <t>Migration Slack → Microsoft Teams (inclus dans M365 E3)</t>
  </si>
  <si>
    <t>1 mois</t>
  </si>
  <si>
    <t>Forte adhésion des équipes tech à Slack, résistance au changement</t>
  </si>
  <si>
    <t>Migration progressive par service, ambassadeurs internes, période de transition de 3 mois</t>
  </si>
  <si>
    <t>Downgrade 30 licences Microsoft 365 E3 → Business Premium</t>
  </si>
  <si>
    <t>1 semaine</t>
  </si>
  <si>
    <t>Identification des utilisateurs éligibles au downgrade</t>
  </si>
  <si>
    <t>Analyser les logs d'usage pour identifier les utilisateurs n'utilisant pas les fonctionnalités E3 (eDiscovery, DLP avancé)</t>
  </si>
  <si>
    <t>Audit Salesforce : révision des droits d'usage et conformité</t>
  </si>
  <si>
    <t>2 mois</t>
  </si>
  <si>
    <t>Complexité des droits d'usage Salesforce, audité dans 20% des organisations, risque contractuel élevé</t>
  </si>
  <si>
    <t>Engager un audit interne préventif, documenter les usages réels, préparer un dossier de conformité avant renouvellement</t>
  </si>
  <si>
    <t>RÉSUMÉ DES ÉCONOMIES</t>
  </si>
  <si>
    <t>10 200 €</t>
  </si>
  <si>
    <t>16 200 €</t>
  </si>
  <si>
    <t>12 220 €</t>
  </si>
  <si>
    <t>6 280 €</t>
  </si>
  <si>
    <t>Non chiffré à ce stade (Risk avoidance)</t>
  </si>
  <si>
    <t>Total économies quick wins</t>
  </si>
  <si>
    <t>26 400 €</t>
  </si>
  <si>
    <t>Total économies projets</t>
  </si>
  <si>
    <t>18 500 €</t>
  </si>
  <si>
    <t>ÉCONOMIES TOTALES IDENTIFIÉES</t>
  </si>
  <si>
    <t>44 900 €</t>
  </si>
  <si>
    <t>Actions de conformité hors économies directes</t>
  </si>
  <si>
    <t>Salesforce, Microsoft, Adobe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</si>
</sst>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\€"/>
    <numFmt numFmtId="165" formatCode="0.0%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FFB347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D9E2F3"/>
        <bgColor indexed="64"/>
      </patternFill>
    </fill>
  </fills>
  <borders count="2">
    <border>
      <start/>
      <end/>
      <top/>
      <bottom/>
      <diagonal/>
    </border>
    <border>
      <start style="thin">
        <color auto="1"/>
      </start>
      <end style="thin">
        <color auto="1"/>
      </end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0" fontId="2" fillId="2" borderId="0" xfId="0" applyFont="1" applyFill="1"/>
    <xf numFmtId="164" fontId="0" fillId="0" borderId="0" xfId="0" applyNumberFormat="1"/>
    <xf numFmtId="49" fontId="2" fillId="2" borderId="0" xfId="0" applyNumberFormat="1" applyFont="1" applyFill="1"/>
    <xf numFmtId="0" fontId="1" fillId="0" borderId="0" xfId="0" applyFont="1"/>
    <xf numFmtId="164" fontId="1" fillId="0" borderId="0" xfId="0" applyNumberFormat="1" applyFont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4" fontId="0" fillId="0" borderId="1" xfId="0" applyNumberFormat="1" applyBorder="1"/>
    <xf numFmtId="0" fontId="6" fillId="0" borderId="0" xfId="0" applyFont="1"/>
    <xf numFmtId="0" fontId="7" fillId="2" borderId="0" xfId="0" applyFont="1" applyFill="1"/>
    <xf numFmtId="0" fontId="2" fillId="2" borderId="1" xfId="0" applyFont="1" applyFill="1" applyBorder="1" applyAlignment="1">
      <alignment wrapText="1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1" fillId="5" borderId="0" xfId="0" applyNumberFormat="1" applyFont="1" applyFill="1"/>
    <xf numFmtId="0" fontId="8" fillId="0" borderId="0" xfId="0" applyFont="1"/>
    <xf numFmtId="0" fontId="1" fillId="6" borderId="0" xfId="0" applyFont="1" applyFill="1"/>
    <xf numFmtId="164" fontId="1" fillId="6" borderId="0" xfId="0" applyNumberFormat="1" applyFont="1" applyFill="1"/>
  </cellXfs>
  <cellStyles count="1">
    <cellStyle name="Normal" xfId="0" builtinId="0"/>
  </cellStyles>
  <dxfs count="6">
    <dxf>
      <font>
        <color rgb="FF006400"/>
      </font>
      <fill>
        <patternFill patternType="solid">
          <fgColor indexed="64"/>
          <bgColor rgb="FF90EE90"/>
        </patternFill>
      </fill>
    </dxf>
    <dxf>
      <font>
        <color rgb="FF8B4513"/>
      </font>
      <fill>
        <patternFill patternType="solid">
          <fgColor indexed="64"/>
          <bgColor rgb="FFFFB347"/>
        </patternFill>
      </fill>
    </dxf>
    <dxf>
      <font>
        <color rgb="FF8B0000"/>
      </font>
      <fill>
        <patternFill patternType="solid">
          <fgColor indexed="64"/>
          <bgColor rgb="FFFF6B6B"/>
        </patternFill>
      </fill>
    </dxf>
    <dxf>
      <font>
        <color rgb="FF006400"/>
      </font>
      <fill>
        <patternFill patternType="solid">
          <fgColor indexed="64"/>
          <bgColor rgb="FF90EE90"/>
        </patternFill>
      </fill>
    </dxf>
    <dxf>
      <font>
        <color rgb="FF8B4513"/>
      </font>
      <fill>
        <patternFill patternType="solid">
          <fgColor indexed="64"/>
          <bgColor rgb="FFFFB347"/>
        </patternFill>
      </fill>
    </dxf>
    <dxf>
      <font>
        <color rgb="FF8B0000"/>
      </font>
      <fill>
        <patternFill patternType="solid">
          <fgColor indexed="64"/>
          <bgColor rgb="FFFF6B6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calcChain" Target="calcChain.xml"/><Relationship Id="rId3" Type="http://purl.oclc.org/ooxml/officeDocument/relationships/worksheet" Target="worksheets/sheet3.xml"/><Relationship Id="rId7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tyles" Target="styles.xml"/><Relationship Id="rId5" Type="http://purl.oclc.org/ooxml/officeDocument/relationships/theme" Target="theme/theme1.xml"/><Relationship Id="rId4" Type="http://purl.oclc.org/ooxml/officeDocument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Coût annuel par éditeur (€)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Dashboard!$B$14</c:f>
              <c:strCache>
                <c:ptCount val="1"/>
                <c:pt idx="0">
                  <c:v>Coût annuel (€)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Dashboard!$A$15:$A$26</c:f>
              <c:strCache>
                <c:ptCount val="12"/>
                <c:pt idx="0">
                  <c:v>Microsoft</c:v>
                </c:pt>
                <c:pt idx="1">
                  <c:v>Adobe</c:v>
                </c:pt>
                <c:pt idx="2">
                  <c:v>Salesforce</c:v>
                </c:pt>
                <c:pt idx="3">
                  <c:v>Zoom</c:v>
                </c:pt>
                <c:pt idx="4">
                  <c:v>Slack</c:v>
                </c:pt>
                <c:pt idx="5">
                  <c:v>Atlassian</c:v>
                </c:pt>
                <c:pt idx="6">
                  <c:v>ServiceNow</c:v>
                </c:pt>
                <c:pt idx="7">
                  <c:v>SAP</c:v>
                </c:pt>
                <c:pt idx="8">
                  <c:v>DocuSign</c:v>
                </c:pt>
                <c:pt idx="9">
                  <c:v>CrowdStrike</c:v>
                </c:pt>
                <c:pt idx="10">
                  <c:v>Figma</c:v>
                </c:pt>
                <c:pt idx="11">
                  <c:v>1Password</c:v>
                </c:pt>
              </c:strCache>
            </c:strRef>
          </c:cat>
          <c:val>
            <c:numRef>
              <c:f>Dashboard!$B$15:$B$26</c:f>
              <c:numCache>
                <c:formatCode>#\ ##0\ \€</c:formatCode>
                <c:ptCount val="12"/>
                <c:pt idx="0">
                  <c:v>95200</c:v>
                </c:pt>
                <c:pt idx="1">
                  <c:v>32400</c:v>
                </c:pt>
                <c:pt idx="2">
                  <c:v>25500</c:v>
                </c:pt>
                <c:pt idx="3">
                  <c:v>27000</c:v>
                </c:pt>
                <c:pt idx="4">
                  <c:v>17420</c:v>
                </c:pt>
                <c:pt idx="5">
                  <c:v>11400</c:v>
                </c:pt>
                <c:pt idx="6">
                  <c:v>12000</c:v>
                </c:pt>
                <c:pt idx="7">
                  <c:v>12160</c:v>
                </c:pt>
                <c:pt idx="8">
                  <c:v>7200</c:v>
                </c:pt>
                <c:pt idx="9">
                  <c:v>8000</c:v>
                </c:pt>
                <c:pt idx="10">
                  <c:v>6300</c:v>
                </c:pt>
                <c:pt idx="11">
                  <c:v>13440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A2-447F-A92C-88CDFA4ED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6923423"/>
        <c:axId val="676923903"/>
      </c:barChart>
      <c:catAx>
        <c:axId val="6769234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6923903"/>
        <c:crosses val="autoZero"/>
        <c:auto val="1"/>
        <c:lblAlgn val="ctr"/>
        <c:lblOffset val="100"/>
        <c:noMultiLvlLbl val="0"/>
      </c:catAx>
      <c:valAx>
        <c:axId val="676923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#\ ##0\ \€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6923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16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3</xdr:col>
      <xdr:colOff>0</xdr:colOff>
      <xdr:row>12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E02B802-625F-270E-FD8D-2A717C0E5F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B8277-7B68-40D1-B840-10D5C40544BB}">
  <dimension ref="A1:J14"/>
  <sheetViews>
    <sheetView topLeftCell="C1" zoomScale="70" zoomScaleNormal="70" workbookViewId="0">
      <selection activeCell="E14" sqref="E14"/>
    </sheetView>
  </sheetViews>
  <sheetFormatPr baseColWidth="10" defaultRowHeight="14.4" x14ac:dyDescent="0.3"/>
  <cols>
    <col min="1" max="1" width="10.77734375" bestFit="1" customWidth="1"/>
    <col min="2" max="2" width="19.33203125" bestFit="1" customWidth="1"/>
    <col min="3" max="3" width="19.6640625" bestFit="1" customWidth="1"/>
    <col min="4" max="4" width="16.33203125" bestFit="1" customWidth="1"/>
    <col min="5" max="5" width="15.6640625" bestFit="1" customWidth="1"/>
    <col min="6" max="6" width="22.6640625" bestFit="1" customWidth="1"/>
    <col min="7" max="7" width="20.33203125" bestFit="1" customWidth="1"/>
    <col min="8" max="8" width="17.77734375" bestFit="1" customWidth="1"/>
    <col min="9" max="9" width="20.77734375" bestFit="1" customWidth="1"/>
    <col min="10" max="10" width="21.2187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2" t="s">
        <v>8</v>
      </c>
      <c r="J1" s="2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280</v>
      </c>
      <c r="E2">
        <v>295</v>
      </c>
      <c r="F2">
        <v>42</v>
      </c>
      <c r="G2" s="3">
        <v>340</v>
      </c>
      <c r="H2" s="3">
        <f>D2*G2</f>
        <v>95200</v>
      </c>
      <c r="I2" s="1" t="d">
        <v>2026-09-15</v>
      </c>
      <c r="J2" t="s">
        <v>13</v>
      </c>
    </row>
    <row r="3" spans="1:10" x14ac:dyDescent="0.3">
      <c r="A3" t="s">
        <v>14</v>
      </c>
      <c r="B3" t="s">
        <v>15</v>
      </c>
      <c r="C3" t="s">
        <v>12</v>
      </c>
      <c r="D3">
        <v>45</v>
      </c>
      <c r="E3">
        <v>50</v>
      </c>
      <c r="F3">
        <v>13</v>
      </c>
      <c r="G3" s="3">
        <v>720</v>
      </c>
      <c r="H3" s="3">
        <f>D3*G3</f>
        <v>32400</v>
      </c>
      <c r="I3" s="1" t="d">
        <v>2026-06-01</v>
      </c>
      <c r="J3" t="s">
        <v>13</v>
      </c>
    </row>
    <row r="4" spans="1:10" x14ac:dyDescent="0.3">
      <c r="A4" t="s">
        <v>16</v>
      </c>
      <c r="B4" t="s">
        <v>17</v>
      </c>
      <c r="C4" t="s">
        <v>12</v>
      </c>
      <c r="D4">
        <v>85</v>
      </c>
      <c r="E4">
        <v>90</v>
      </c>
      <c r="F4">
        <v>14</v>
      </c>
      <c r="G4" s="3">
        <v>300</v>
      </c>
      <c r="H4" s="3">
        <f>D4*G4</f>
        <v>25500</v>
      </c>
      <c r="I4" s="1" t="d">
        <v>2026-12-31</v>
      </c>
      <c r="J4" t="s">
        <v>13</v>
      </c>
    </row>
    <row r="5" spans="1:10" x14ac:dyDescent="0.3">
      <c r="A5" t="s">
        <v>18</v>
      </c>
      <c r="B5" t="s">
        <v>19</v>
      </c>
      <c r="C5" t="s">
        <v>12</v>
      </c>
      <c r="D5">
        <v>150</v>
      </c>
      <c r="E5">
        <v>60</v>
      </c>
      <c r="F5">
        <v>90</v>
      </c>
      <c r="G5" s="3">
        <v>180</v>
      </c>
      <c r="H5" s="3">
        <f>D5*G5</f>
        <v>27000</v>
      </c>
      <c r="I5" s="1" t="d">
        <v>2026-05-15</v>
      </c>
      <c r="J5" t="s">
        <v>20</v>
      </c>
    </row>
    <row r="6" spans="1:10" x14ac:dyDescent="0.3">
      <c r="A6" t="s">
        <v>21</v>
      </c>
      <c r="B6" t="s">
        <v>22</v>
      </c>
      <c r="C6" t="s">
        <v>12</v>
      </c>
      <c r="D6">
        <v>268</v>
      </c>
      <c r="E6">
        <v>80</v>
      </c>
      <c r="F6">
        <v>72</v>
      </c>
      <c r="G6" s="3">
        <v>65</v>
      </c>
      <c r="H6" s="3">
        <f>D6*G6</f>
        <v>17420</v>
      </c>
      <c r="I6" s="1" t="d">
        <v>2026-08-01</v>
      </c>
      <c r="J6" t="s">
        <v>20</v>
      </c>
    </row>
    <row r="7" spans="1:10" x14ac:dyDescent="0.3">
      <c r="A7" t="s">
        <v>23</v>
      </c>
      <c r="B7" t="s">
        <v>24</v>
      </c>
      <c r="C7" t="s">
        <v>12</v>
      </c>
      <c r="D7">
        <v>120</v>
      </c>
      <c r="E7">
        <v>98</v>
      </c>
      <c r="F7">
        <v>22</v>
      </c>
      <c r="G7" s="3">
        <v>95</v>
      </c>
      <c r="H7" s="3">
        <f>D7*G7</f>
        <v>11400</v>
      </c>
      <c r="I7" s="1" t="d">
        <v>2026-11-30</v>
      </c>
      <c r="J7" t="s">
        <v>25</v>
      </c>
    </row>
    <row r="8" spans="1:10" x14ac:dyDescent="0.3">
      <c r="A8" t="s">
        <v>26</v>
      </c>
      <c r="B8" t="s">
        <v>27</v>
      </c>
      <c r="C8" t="s">
        <v>12</v>
      </c>
      <c r="D8">
        <v>25</v>
      </c>
      <c r="E8">
        <v>24</v>
      </c>
      <c r="F8">
        <v>1</v>
      </c>
      <c r="G8" s="3">
        <v>480</v>
      </c>
      <c r="H8" s="3">
        <f>D8*G8</f>
        <v>12000</v>
      </c>
      <c r="I8" s="1" t="d">
        <v>2027-01-15</v>
      </c>
      <c r="J8" t="s">
        <v>20</v>
      </c>
    </row>
    <row r="9" spans="1:10" x14ac:dyDescent="0.3">
      <c r="A9" t="s">
        <v>28</v>
      </c>
      <c r="B9" t="s">
        <v>29</v>
      </c>
      <c r="C9" t="s">
        <v>12</v>
      </c>
      <c r="D9">
        <v>320</v>
      </c>
      <c r="E9">
        <v>200</v>
      </c>
      <c r="F9">
        <v>5</v>
      </c>
      <c r="G9" s="3">
        <v>38</v>
      </c>
      <c r="H9" s="3">
        <f>D9*G9</f>
        <v>12160</v>
      </c>
      <c r="I9" s="1" t="d">
        <v>2026-10-01</v>
      </c>
      <c r="J9" t="s">
        <v>13</v>
      </c>
    </row>
    <row r="10" spans="1:10" x14ac:dyDescent="0.3">
      <c r="A10" t="s">
        <v>30</v>
      </c>
      <c r="B10" t="s">
        <v>31</v>
      </c>
      <c r="C10" t="s">
        <v>12</v>
      </c>
      <c r="D10">
        <v>40</v>
      </c>
      <c r="E10">
        <v>35</v>
      </c>
      <c r="F10">
        <v>5</v>
      </c>
      <c r="G10" s="3">
        <v>180</v>
      </c>
      <c r="H10" s="3">
        <f>D10*G10</f>
        <v>7200</v>
      </c>
      <c r="I10" s="1" t="d">
        <v>2026-07-20</v>
      </c>
      <c r="J10" t="s">
        <v>25</v>
      </c>
    </row>
    <row r="11" spans="1:10" x14ac:dyDescent="0.3">
      <c r="A11" t="s">
        <v>32</v>
      </c>
      <c r="B11" t="s">
        <v>33</v>
      </c>
      <c r="C11" t="s">
        <v>34</v>
      </c>
      <c r="D11">
        <v>320</v>
      </c>
      <c r="E11">
        <v>318</v>
      </c>
      <c r="F11">
        <v>2</v>
      </c>
      <c r="G11" s="3">
        <v>25</v>
      </c>
      <c r="H11" s="3">
        <f>D11*G11</f>
        <v>8000</v>
      </c>
      <c r="I11" s="1" t="d">
        <v>2026-09-30</v>
      </c>
      <c r="J11" t="s">
        <v>25</v>
      </c>
    </row>
    <row r="12" spans="1:10" x14ac:dyDescent="0.3">
      <c r="A12" t="s">
        <v>35</v>
      </c>
      <c r="B12" t="s">
        <v>36</v>
      </c>
      <c r="C12" t="s">
        <v>12</v>
      </c>
      <c r="D12">
        <v>35</v>
      </c>
      <c r="E12">
        <v>28</v>
      </c>
      <c r="F12">
        <v>7</v>
      </c>
      <c r="G12" s="3">
        <v>180</v>
      </c>
      <c r="H12" s="3">
        <f>D12*G12</f>
        <v>6300</v>
      </c>
      <c r="I12" s="1" t="d">
        <v>2026-06-15</v>
      </c>
      <c r="J12" t="s">
        <v>25</v>
      </c>
    </row>
    <row r="13" spans="1:10" x14ac:dyDescent="0.3">
      <c r="A13" t="s">
        <v>37</v>
      </c>
      <c r="B13" t="s">
        <v>38</v>
      </c>
      <c r="C13" t="s">
        <v>12</v>
      </c>
      <c r="D13">
        <v>320</v>
      </c>
      <c r="E13">
        <v>150</v>
      </c>
      <c r="F13">
        <v>25</v>
      </c>
      <c r="G13" s="3">
        <v>42</v>
      </c>
      <c r="H13" s="3">
        <f>D13*G13</f>
        <v>13440</v>
      </c>
      <c r="I13" s="1" t="d">
        <v>2026-04-30</v>
      </c>
      <c r="J13" t="s">
        <v>25</v>
      </c>
    </row>
    <row r="14" spans="1:10" x14ac:dyDescent="0.3">
      <c r="A14" s="25" t="s">
        <v>42</v>
      </c>
      <c r="B14" s="25"/>
      <c r="C14" s="25"/>
      <c r="D14" s="25">
        <f>SUM(D2:D13)</f>
        <v>2008</v>
      </c>
      <c r="E14" s="25">
        <f>SUM(E2:E13)</f>
        <v>1428</v>
      </c>
      <c r="F14" s="25">
        <f>SUM(F2:F13)</f>
        <v>298</v>
      </c>
      <c r="G14" s="25"/>
      <c r="H14" s="26">
        <f>SUM(H2:H13)</f>
        <v>268020</v>
      </c>
      <c r="I14" s="25"/>
      <c r="J14" s="25"/>
    </row>
  </sheetData>
  <conditionalFormatting sqref="J2:J13">
    <cfRule type="containsText" dxfId="5" priority="1" operator="containsText" text="Élevé">
      <formula>NOT(ISERROR(SEARCH("Élevé",J2)))</formula>
    </cfRule>
  </conditionalFormatting>
  <conditionalFormatting sqref="J2:J13">
    <cfRule type="containsText" dxfId="4" priority="2" operator="containsText" text="Moyen">
      <formula>NOT(ISERROR(SEARCH("Moyen",J2)))</formula>
    </cfRule>
  </conditionalFormatting>
  <conditionalFormatting sqref="J2:J13">
    <cfRule type="containsText" dxfId="3" priority="3" operator="containsText" text="Faible">
      <formula>NOT(ISERROR(SEARCH("Faible",J2)))</formula>
    </cfRule>
  </conditionalFormatting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AF8A5-FE22-4CB2-956C-5336FAAB1AC4}">
  <dimension ref="A1:F14"/>
  <sheetViews>
    <sheetView workbookViewId="0">
      <selection activeCell="B2" sqref="B2"/>
    </sheetView>
  </sheetViews>
  <sheetFormatPr baseColWidth="10" defaultRowHeight="14.4" x14ac:dyDescent="0.3"/>
  <cols>
    <col min="1" max="1" width="10.77734375" bestFit="1" customWidth="1"/>
    <col min="2" max="2" width="16.33203125" bestFit="1" customWidth="1"/>
    <col min="3" max="3" width="15.6640625" bestFit="1" customWidth="1"/>
    <col min="4" max="4" width="5.33203125" bestFit="1" customWidth="1"/>
    <col min="5" max="5" width="10.6640625" bestFit="1" customWidth="1"/>
    <col min="6" max="6" width="24.88671875" bestFit="1" customWidth="1"/>
  </cols>
  <sheetData>
    <row r="1" spans="1:6" x14ac:dyDescent="0.3">
      <c r="A1" s="2" t="s">
        <v>0</v>
      </c>
      <c r="B1" s="2" t="s">
        <v>3</v>
      </c>
      <c r="C1" s="2" t="s">
        <v>4</v>
      </c>
      <c r="D1" s="2" t="s">
        <v>39</v>
      </c>
      <c r="E1" s="2" t="s">
        <v>40</v>
      </c>
      <c r="F1" s="2" t="s">
        <v>41</v>
      </c>
    </row>
    <row r="2" spans="1:6" x14ac:dyDescent="0.3">
      <c r="A2" t="str">
        <f>'Inventaire Brut'!A2</f>
        <v>Microsoft</v>
      </c>
      <c r="B2">
        <f>'Inventaire Brut'!D2</f>
        <v>280</v>
      </c>
      <c r="C2">
        <f>'Inventaire Brut'!E2</f>
        <v>295</v>
      </c>
      <c r="D2">
        <f>C2-B2</f>
        <v>15</v>
      </c>
      <c r="E2" t="str">
        <f>IF(D2&gt;0,"Sous-licencié",IF(D2&lt;0,"Sur-licencié","Conforme"))</f>
        <v>Sous-licencié</v>
      </c>
      <c r="F2" s="3">
        <f>IF(D2&lt;0,ABS(D2)*'Inventaire Brut'!G2,0)</f>
        <v>0</v>
      </c>
    </row>
    <row r="3" spans="1:6" x14ac:dyDescent="0.3">
      <c r="A3" t="str">
        <f>'Inventaire Brut'!A3</f>
        <v>Adobe</v>
      </c>
      <c r="B3">
        <f>'Inventaire Brut'!D3</f>
        <v>45</v>
      </c>
      <c r="C3">
        <f>'Inventaire Brut'!E3</f>
        <v>50</v>
      </c>
      <c r="D3">
        <f>C3-B3</f>
        <v>5</v>
      </c>
      <c r="E3" t="str">
        <f>IF(D3&gt;0,"Sous-licencié",IF(D3&lt;0,"Sur-licencié","Conforme"))</f>
        <v>Sous-licencié</v>
      </c>
      <c r="F3" s="3">
        <f>IF(D3&lt;0,ABS(D3)*'Inventaire Brut'!G3,0)</f>
        <v>0</v>
      </c>
    </row>
    <row r="4" spans="1:6" x14ac:dyDescent="0.3">
      <c r="A4" t="str">
        <f>'Inventaire Brut'!A4</f>
        <v>Salesforce</v>
      </c>
      <c r="B4">
        <f>'Inventaire Brut'!D4</f>
        <v>85</v>
      </c>
      <c r="C4">
        <f>'Inventaire Brut'!E4</f>
        <v>90</v>
      </c>
      <c r="D4">
        <f>C4-B4</f>
        <v>5</v>
      </c>
      <c r="E4" t="str">
        <f>IF(D4&gt;0,"Sous-licencié",IF(D4&lt;0,"Sur-licencié","Conforme"))</f>
        <v>Sous-licencié</v>
      </c>
      <c r="F4" s="3">
        <f>IF(D4&lt;0,ABS(D4)*'Inventaire Brut'!G4,0)</f>
        <v>0</v>
      </c>
    </row>
    <row r="5" spans="1:6" x14ac:dyDescent="0.3">
      <c r="A5" t="str">
        <f>'Inventaire Brut'!A5</f>
        <v>Zoom</v>
      </c>
      <c r="B5">
        <f>'Inventaire Brut'!D5</f>
        <v>150</v>
      </c>
      <c r="C5">
        <f>'Inventaire Brut'!E5</f>
        <v>60</v>
      </c>
      <c r="D5">
        <f>C5-B5</f>
        <v>-90</v>
      </c>
      <c r="E5" t="str">
        <f>IF(D5&gt;0,"Sous-licencié",IF(D5&lt;0,"Sur-licencié","Conforme"))</f>
        <v>Sur-licencié</v>
      </c>
      <c r="F5" s="3">
        <f>IF(D5&lt;0,ABS(D5)*'Inventaire Brut'!G5,0)</f>
        <v>16200</v>
      </c>
    </row>
    <row r="6" spans="1:6" x14ac:dyDescent="0.3">
      <c r="A6" t="str">
        <f>'Inventaire Brut'!A6</f>
        <v>Slack</v>
      </c>
      <c r="B6">
        <f>'Inventaire Brut'!D6</f>
        <v>268</v>
      </c>
      <c r="C6">
        <f>'Inventaire Brut'!E6</f>
        <v>80</v>
      </c>
      <c r="D6">
        <f>C6-B6</f>
        <v>-188</v>
      </c>
      <c r="E6" t="str">
        <f>IF(D6&gt;0,"Sous-licencié",IF(D6&lt;0,"Sur-licencié","Conforme"))</f>
        <v>Sur-licencié</v>
      </c>
      <c r="F6" s="3">
        <f>IF(D6&lt;0,ABS(D6)*'Inventaire Brut'!G6,0)</f>
        <v>12220</v>
      </c>
    </row>
    <row r="7" spans="1:6" x14ac:dyDescent="0.3">
      <c r="A7" t="str">
        <f>'Inventaire Brut'!A7</f>
        <v>Atlassian</v>
      </c>
      <c r="B7">
        <f>'Inventaire Brut'!D7</f>
        <v>120</v>
      </c>
      <c r="C7">
        <f>'Inventaire Brut'!E7</f>
        <v>98</v>
      </c>
      <c r="D7">
        <f>C7-B7</f>
        <v>-22</v>
      </c>
      <c r="E7" t="str">
        <f>IF(D7&gt;0,"Sous-licencié",IF(D7&lt;0,"Sur-licencié","Conforme"))</f>
        <v>Sur-licencié</v>
      </c>
      <c r="F7" s="3">
        <f>IF(D7&lt;0,ABS(D7)*'Inventaire Brut'!G7,0)</f>
        <v>2090</v>
      </c>
    </row>
    <row r="8" spans="1:6" x14ac:dyDescent="0.3">
      <c r="A8" t="str">
        <f>'Inventaire Brut'!A8</f>
        <v>ServiceNow</v>
      </c>
      <c r="B8">
        <f>'Inventaire Brut'!D8</f>
        <v>25</v>
      </c>
      <c r="C8">
        <f>'Inventaire Brut'!E8</f>
        <v>24</v>
      </c>
      <c r="D8">
        <f>C8-B8</f>
        <v>-1</v>
      </c>
      <c r="E8" t="str">
        <f>IF(D8&gt;0,"Sous-licencié",IF(D8&lt;0,"Sur-licencié","Conforme"))</f>
        <v>Sur-licencié</v>
      </c>
      <c r="F8" s="3">
        <f>IF(D8&lt;0,ABS(D8)*'Inventaire Brut'!G8,0)</f>
        <v>480</v>
      </c>
    </row>
    <row r="9" spans="1:6" x14ac:dyDescent="0.3">
      <c r="A9" t="str">
        <f>'Inventaire Brut'!A9</f>
        <v>SAP</v>
      </c>
      <c r="B9">
        <f>'Inventaire Brut'!D9</f>
        <v>320</v>
      </c>
      <c r="C9">
        <f>'Inventaire Brut'!E9</f>
        <v>200</v>
      </c>
      <c r="D9">
        <f>C9-B9</f>
        <v>-120</v>
      </c>
      <c r="E9" t="str">
        <f>IF(D9&gt;0,"Sous-licencié",IF(D9&lt;0,"Sur-licencié","Conforme"))</f>
        <v>Sur-licencié</v>
      </c>
      <c r="F9" s="3">
        <f>IF(D9&lt;0,ABS(D9)*'Inventaire Brut'!G9,0)</f>
        <v>4560</v>
      </c>
    </row>
    <row r="10" spans="1:6" x14ac:dyDescent="0.3">
      <c r="A10" t="str">
        <f>'Inventaire Brut'!A10</f>
        <v>DocuSign</v>
      </c>
      <c r="B10">
        <f>'Inventaire Brut'!D10</f>
        <v>40</v>
      </c>
      <c r="C10">
        <f>'Inventaire Brut'!E10</f>
        <v>35</v>
      </c>
      <c r="D10">
        <f>C10-B10</f>
        <v>-5</v>
      </c>
      <c r="E10" t="str">
        <f>IF(D10&gt;0,"Sous-licencié",IF(D10&lt;0,"Sur-licencié","Conforme"))</f>
        <v>Sur-licencié</v>
      </c>
      <c r="F10" s="3">
        <f>IF(D10&lt;0,ABS(D10)*'Inventaire Brut'!G10,0)</f>
        <v>900</v>
      </c>
    </row>
    <row r="11" spans="1:6" x14ac:dyDescent="0.3">
      <c r="A11" t="str">
        <f>'Inventaire Brut'!A11</f>
        <v>CrowdStrike</v>
      </c>
      <c r="B11">
        <f>'Inventaire Brut'!D11</f>
        <v>320</v>
      </c>
      <c r="C11">
        <f>'Inventaire Brut'!E11</f>
        <v>318</v>
      </c>
      <c r="D11">
        <f>C11-B11</f>
        <v>-2</v>
      </c>
      <c r="E11" t="str">
        <f>IF(D11&gt;0,"Sous-licencié",IF(D11&lt;0,"Sur-licencié","Conforme"))</f>
        <v>Sur-licencié</v>
      </c>
      <c r="F11" s="3">
        <f>IF(D11&lt;0,ABS(D11)*'Inventaire Brut'!G11,0)</f>
        <v>50</v>
      </c>
    </row>
    <row r="12" spans="1:6" x14ac:dyDescent="0.3">
      <c r="A12" t="str">
        <f>'Inventaire Brut'!A12</f>
        <v>Figma</v>
      </c>
      <c r="B12">
        <f>'Inventaire Brut'!D12</f>
        <v>35</v>
      </c>
      <c r="C12">
        <f>'Inventaire Brut'!E12</f>
        <v>28</v>
      </c>
      <c r="D12">
        <f>C12-B12</f>
        <v>-7</v>
      </c>
      <c r="E12" t="str">
        <f>IF(D12&gt;0,"Sous-licencié",IF(D12&lt;0,"Sur-licencié","Conforme"))</f>
        <v>Sur-licencié</v>
      </c>
      <c r="F12" s="3">
        <f>IF(D12&lt;0,ABS(D12)*'Inventaire Brut'!G12,0)</f>
        <v>1260</v>
      </c>
    </row>
    <row r="13" spans="1:6" x14ac:dyDescent="0.3">
      <c r="A13" t="str">
        <f>'Inventaire Brut'!A13</f>
        <v>1Password</v>
      </c>
      <c r="B13">
        <f>'Inventaire Brut'!D13</f>
        <v>320</v>
      </c>
      <c r="C13">
        <f>'Inventaire Brut'!E13</f>
        <v>150</v>
      </c>
      <c r="D13">
        <f>C13-B13</f>
        <v>-170</v>
      </c>
      <c r="E13" t="str">
        <f>IF(D13&gt;0,"Sous-licencié",IF(D13&lt;0,"Sur-licencié","Conforme"))</f>
        <v>Sur-licencié</v>
      </c>
      <c r="F13" s="3">
        <f>IF(D13&lt;0,ABS(D13)*'Inventaire Brut'!G13,0)</f>
        <v>7140</v>
      </c>
    </row>
    <row r="14" spans="1:6" x14ac:dyDescent="0.3">
      <c r="A14" s="5" t="s">
        <v>42</v>
      </c>
      <c r="F14" s="6">
        <f>SUM(F2:F13)</f>
        <v>44900</v>
      </c>
    </row>
  </sheetData>
  <conditionalFormatting sqref="E2:E13">
    <cfRule type="containsText" dxfId="2" priority="1" operator="containsText" text="Sous-licencié">
      <formula>NOT(ISERROR(SEARCH("Sous-licencié",E2)))</formula>
    </cfRule>
  </conditionalFormatting>
  <conditionalFormatting sqref="E2:E13">
    <cfRule type="containsText" dxfId="1" priority="2" operator="containsText" text="Sur-licencié">
      <formula>NOT(ISERROR(SEARCH("Sur-licencié",E2)))</formula>
    </cfRule>
  </conditionalFormatting>
  <conditionalFormatting sqref="E2:E13">
    <cfRule type="containsText" dxfId="0" priority="3" operator="containsText" text="Conforme">
      <formula>NOT(ISERROR(SEARCH("Conforme",E2)))</formula>
    </cfRule>
  </conditionalFormatting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03A40-9CC3-4139-8B36-071B327B0525}">
  <dimension ref="A1:D26"/>
  <sheetViews>
    <sheetView zoomScale="70" zoomScaleNormal="70" workbookViewId="0">
      <selection sqref="A1:D1"/>
    </sheetView>
  </sheetViews>
  <sheetFormatPr baseColWidth="10" defaultRowHeight="14.4" x14ac:dyDescent="0.3"/>
  <cols>
    <col min="1" max="1" width="30.44140625" bestFit="1" customWidth="1"/>
    <col min="2" max="2" width="13.44140625" bestFit="1" customWidth="1"/>
    <col min="3" max="3" width="20.21875" bestFit="1" customWidth="1"/>
  </cols>
  <sheetData>
    <row r="1" spans="1:4" ht="21" x14ac:dyDescent="0.4">
      <c r="A1" s="8" t="s">
        <v>43</v>
      </c>
      <c r="B1" s="7"/>
      <c r="C1" s="7"/>
      <c r="D1" s="7"/>
    </row>
    <row r="3" spans="1:4" ht="15.6" x14ac:dyDescent="0.3">
      <c r="A3" s="9" t="s">
        <v>44</v>
      </c>
    </row>
    <row r="4" spans="1:4" x14ac:dyDescent="0.3">
      <c r="A4" s="10" t="s">
        <v>45</v>
      </c>
      <c r="B4" s="10" t="s">
        <v>46</v>
      </c>
      <c r="C4" s="10" t="s">
        <v>47</v>
      </c>
    </row>
    <row r="5" spans="1:4" x14ac:dyDescent="0.3">
      <c r="A5" s="11" t="s">
        <v>48</v>
      </c>
      <c r="B5" s="12">
        <f>SUM('Inventaire Brut'!H2:H13)</f>
        <v>268020</v>
      </c>
      <c r="C5" s="11" t="s">
        <v>49</v>
      </c>
    </row>
    <row r="6" spans="1:4" x14ac:dyDescent="0.3">
      <c r="A6" s="11" t="s">
        <v>50</v>
      </c>
      <c r="B6" s="12">
        <f>SUM(Conformité!F2:F13)</f>
        <v>44900</v>
      </c>
      <c r="C6" s="13">
        <f>B6/B5</f>
        <v>0.16752481158122529</v>
      </c>
    </row>
    <row r="7" spans="1:4" x14ac:dyDescent="0.3">
      <c r="A7" s="11" t="s">
        <v>51</v>
      </c>
      <c r="B7" s="11">
        <f>COUNTIF('Inventaire Brut'!J2:J13,"Élevé")</f>
        <v>4</v>
      </c>
      <c r="C7" s="11" t="s">
        <v>52</v>
      </c>
    </row>
    <row r="8" spans="1:4" x14ac:dyDescent="0.3">
      <c r="A8" s="11" t="s">
        <v>53</v>
      </c>
      <c r="B8" s="11">
        <f>SUM('Inventaire Brut'!F2:F13)</f>
        <v>298</v>
      </c>
      <c r="C8" s="11" t="s">
        <v>54</v>
      </c>
    </row>
    <row r="9" spans="1:4" x14ac:dyDescent="0.3">
      <c r="A9" s="11" t="s">
        <v>55</v>
      </c>
      <c r="B9" s="13">
        <f>COUNTIF(Conformité!E2:E13,"Conforme")/12</f>
        <v>0</v>
      </c>
      <c r="C9" s="11" t="s">
        <v>56</v>
      </c>
    </row>
    <row r="10" spans="1:4" x14ac:dyDescent="0.3">
      <c r="A10" s="11" t="s">
        <v>57</v>
      </c>
      <c r="B10" s="14" t="d">
        <f>MIN('Inventaire Brut'!I2:I13)</f>
        <v>2026-04-30</v>
      </c>
      <c r="C10" s="11" t="s">
        <v>58</v>
      </c>
    </row>
    <row r="13" spans="1:4" ht="15.6" x14ac:dyDescent="0.3">
      <c r="A13" s="9" t="s">
        <v>59</v>
      </c>
    </row>
    <row r="14" spans="1:4" x14ac:dyDescent="0.3">
      <c r="A14" s="2" t="s">
        <v>0</v>
      </c>
      <c r="B14" s="2" t="s">
        <v>60</v>
      </c>
    </row>
    <row r="15" spans="1:4" x14ac:dyDescent="0.3">
      <c r="A15" t="str">
        <f>'Inventaire Brut'!A2</f>
        <v>Microsoft</v>
      </c>
      <c r="B15" s="3">
        <f>'Inventaire Brut'!H2</f>
        <v>95200</v>
      </c>
    </row>
    <row r="16" spans="1:4" x14ac:dyDescent="0.3">
      <c r="A16" t="str">
        <f>'Inventaire Brut'!A3</f>
        <v>Adobe</v>
      </c>
      <c r="B16" s="3">
        <f>'Inventaire Brut'!H3</f>
        <v>32400</v>
      </c>
    </row>
    <row r="17" spans="1:2" x14ac:dyDescent="0.3">
      <c r="A17" t="str">
        <f>'Inventaire Brut'!A4</f>
        <v>Salesforce</v>
      </c>
      <c r="B17" s="3">
        <f>'Inventaire Brut'!H4</f>
        <v>25500</v>
      </c>
    </row>
    <row r="18" spans="1:2" x14ac:dyDescent="0.3">
      <c r="A18" t="str">
        <f>'Inventaire Brut'!A5</f>
        <v>Zoom</v>
      </c>
      <c r="B18" s="3">
        <f>'Inventaire Brut'!H5</f>
        <v>27000</v>
      </c>
    </row>
    <row r="19" spans="1:2" x14ac:dyDescent="0.3">
      <c r="A19" t="str">
        <f>'Inventaire Brut'!A6</f>
        <v>Slack</v>
      </c>
      <c r="B19" s="3">
        <f>'Inventaire Brut'!H6</f>
        <v>17420</v>
      </c>
    </row>
    <row r="20" spans="1:2" x14ac:dyDescent="0.3">
      <c r="A20" t="str">
        <f>'Inventaire Brut'!A7</f>
        <v>Atlassian</v>
      </c>
      <c r="B20" s="3">
        <f>'Inventaire Brut'!H7</f>
        <v>11400</v>
      </c>
    </row>
    <row r="21" spans="1:2" x14ac:dyDescent="0.3">
      <c r="A21" t="str">
        <f>'Inventaire Brut'!A8</f>
        <v>ServiceNow</v>
      </c>
      <c r="B21" s="3">
        <f>'Inventaire Brut'!H8</f>
        <v>12000</v>
      </c>
    </row>
    <row r="22" spans="1:2" x14ac:dyDescent="0.3">
      <c r="A22" t="str">
        <f>'Inventaire Brut'!A9</f>
        <v>SAP</v>
      </c>
      <c r="B22" s="3">
        <f>'Inventaire Brut'!H9</f>
        <v>12160</v>
      </c>
    </row>
    <row r="23" spans="1:2" x14ac:dyDescent="0.3">
      <c r="A23" t="str">
        <f>'Inventaire Brut'!A10</f>
        <v>DocuSign</v>
      </c>
      <c r="B23" s="3">
        <f>'Inventaire Brut'!H10</f>
        <v>7200</v>
      </c>
    </row>
    <row r="24" spans="1:2" x14ac:dyDescent="0.3">
      <c r="A24" t="str">
        <f>'Inventaire Brut'!A11</f>
        <v>CrowdStrike</v>
      </c>
      <c r="B24" s="3">
        <f>'Inventaire Brut'!H11</f>
        <v>8000</v>
      </c>
    </row>
    <row r="25" spans="1:2" x14ac:dyDescent="0.3">
      <c r="A25" t="str">
        <f>'Inventaire Brut'!A12</f>
        <v>Figma</v>
      </c>
      <c r="B25" s="3">
        <f>'Inventaire Brut'!H12</f>
        <v>6300</v>
      </c>
    </row>
    <row r="26" spans="1:2" x14ac:dyDescent="0.3">
      <c r="A26" t="str">
        <f>'Inventaire Brut'!A13</f>
        <v>1Password</v>
      </c>
      <c r="B26" s="3">
        <f>'Inventaire Brut'!H13</f>
        <v>13440</v>
      </c>
    </row>
  </sheetData>
  <mergeCells count="1">
    <mergeCell ref="A1:D1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F5522-E00C-4B3F-960A-5D58E767224A}">
  <dimension ref="A1:F14"/>
  <sheetViews>
    <sheetView tabSelected="1" zoomScale="70" zoomScaleNormal="70" workbookViewId="0">
      <selection activeCell="A13" sqref="A13"/>
    </sheetView>
  </sheetViews>
  <sheetFormatPr baseColWidth="10" defaultRowHeight="14.4" x14ac:dyDescent="0.3"/>
  <cols>
    <col min="1" max="1" width="11.109375" customWidth="1"/>
    <col min="2" max="2" width="37" customWidth="1"/>
    <col min="3" max="3" width="22.21875" customWidth="1"/>
    <col min="4" max="4" width="18.5546875" customWidth="1"/>
    <col min="5" max="5" width="37" customWidth="1"/>
    <col min="6" max="6" width="46.33203125" customWidth="1"/>
  </cols>
  <sheetData>
    <row r="1" spans="1:6" ht="18" x14ac:dyDescent="0.35">
      <c r="A1" s="16" t="s">
        <v>61</v>
      </c>
      <c r="B1" s="15"/>
      <c r="C1" s="15"/>
      <c r="D1" s="15"/>
      <c r="E1" s="15"/>
      <c r="F1" s="15"/>
    </row>
    <row r="3" spans="1:6" ht="43.2" x14ac:dyDescent="0.3">
      <c r="A3" s="17" t="s">
        <v>62</v>
      </c>
      <c r="B3" s="17" t="s">
        <v>63</v>
      </c>
      <c r="C3" s="17" t="s">
        <v>64</v>
      </c>
      <c r="D3" s="17" t="s">
        <v>65</v>
      </c>
      <c r="E3" s="17" t="s">
        <v>66</v>
      </c>
      <c r="F3" s="17" t="s">
        <v>67</v>
      </c>
    </row>
    <row r="4" spans="1:6" ht="60" customHeight="1" x14ac:dyDescent="0.3">
      <c r="A4" s="18">
        <v>1</v>
      </c>
      <c r="B4" s="19" t="s">
        <v>68</v>
      </c>
      <c r="C4" s="12" t="s">
        <v>89</v>
      </c>
      <c r="D4" s="20" t="s">
        <v>69</v>
      </c>
      <c r="E4" s="19" t="s">
        <v>70</v>
      </c>
      <c r="F4" s="19" t="s">
        <v>71</v>
      </c>
    </row>
    <row r="5" spans="1:6" ht="60" customHeight="1" x14ac:dyDescent="0.3">
      <c r="A5" s="18">
        <v>2</v>
      </c>
      <c r="B5" s="19" t="s">
        <v>72</v>
      </c>
      <c r="C5" s="12" t="s">
        <v>90</v>
      </c>
      <c r="D5" s="20" t="s">
        <v>73</v>
      </c>
      <c r="E5" s="19" t="s">
        <v>74</v>
      </c>
      <c r="F5" s="19" t="s">
        <v>75</v>
      </c>
    </row>
    <row r="6" spans="1:6" ht="60" customHeight="1" x14ac:dyDescent="0.3">
      <c r="A6" s="21">
        <v>3</v>
      </c>
      <c r="B6" s="19" t="s">
        <v>76</v>
      </c>
      <c r="C6" s="12" t="s">
        <v>91</v>
      </c>
      <c r="D6" s="20" t="s">
        <v>77</v>
      </c>
      <c r="E6" s="19" t="s">
        <v>78</v>
      </c>
      <c r="F6" s="19" t="s">
        <v>79</v>
      </c>
    </row>
    <row r="7" spans="1:6" ht="60" customHeight="1" x14ac:dyDescent="0.3">
      <c r="A7" s="21">
        <v>4</v>
      </c>
      <c r="B7" s="19" t="s">
        <v>80</v>
      </c>
      <c r="C7" s="12" t="s">
        <v>92</v>
      </c>
      <c r="D7" s="20" t="s">
        <v>81</v>
      </c>
      <c r="E7" s="19" t="s">
        <v>82</v>
      </c>
      <c r="F7" s="19" t="s">
        <v>83</v>
      </c>
    </row>
    <row r="8" spans="1:6" ht="60" customHeight="1" x14ac:dyDescent="0.3">
      <c r="A8" s="22">
        <v>5</v>
      </c>
      <c r="B8" s="19" t="s">
        <v>84</v>
      </c>
      <c r="C8" s="11" t="s">
        <v>93</v>
      </c>
      <c r="D8" s="20" t="s">
        <v>85</v>
      </c>
      <c r="E8" s="19" t="s">
        <v>86</v>
      </c>
      <c r="F8" s="19" t="s">
        <v>87</v>
      </c>
    </row>
    <row r="10" spans="1:6" ht="15.6" x14ac:dyDescent="0.3">
      <c r="A10" s="9" t="s">
        <v>88</v>
      </c>
    </row>
    <row r="11" spans="1:6" x14ac:dyDescent="0.3">
      <c r="A11" t="s">
        <v>94</v>
      </c>
      <c r="B11" s="3" t="s">
        <v>95</v>
      </c>
    </row>
    <row r="12" spans="1:6" x14ac:dyDescent="0.3">
      <c r="A12" t="s">
        <v>96</v>
      </c>
      <c r="B12" s="3" t="s">
        <v>97</v>
      </c>
    </row>
    <row r="13" spans="1:6" x14ac:dyDescent="0.3">
      <c r="A13" s="5" t="s">
        <v>98</v>
      </c>
      <c r="B13" s="23" t="s">
        <v>99</v>
      </c>
    </row>
    <row r="14" spans="1:6" x14ac:dyDescent="0.3">
      <c r="A14" s="24" t="s">
        <v>100</v>
      </c>
      <c r="B14" s="3" t="s">
        <v>101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Inventaire Brut</vt:lpstr>
      <vt:lpstr>Conformité</vt:lpstr>
      <vt:lpstr>Dashboard</vt:lpstr>
      <vt:lpstr>Plan d'Action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Benoît Bousquet</dc:creator>
  <cp:lastModifiedBy>Benoît Bousquet</cp:lastModifiedBy>
  <cp:lastPrinted>2026-04-20T10:19:45Z</cp:lastPrinted>
  <dcterms:created xsi:type="dcterms:W3CDTF">2026-04-20T10:06:13Z</dcterms:created>
  <dcterms:modified xsi:type="dcterms:W3CDTF">2026-04-20T11:04:11Z</dcterms:modified>
</cp:coreProperties>
</file>